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ni\OneDrive\Documents\geo_co_pilot\geo_co_pilot\data\"/>
    </mc:Choice>
  </mc:AlternateContent>
  <xr:revisionPtr revIDLastSave="0" documentId="13_ncr:1_{723AF378-1EAF-45E7-B6F3-7869A55B8B74}" xr6:coauthVersionLast="47" xr6:coauthVersionMax="47" xr10:uidLastSave="{00000000-0000-0000-0000-000000000000}"/>
  <bookViews>
    <workbookView xWindow="11424" yWindow="0" windowWidth="11712" windowHeight="12336" firstSheet="1" activeTab="2" xr2:uid="{54D3CC84-200D-4C0A-83AD-076A3260E5CB}"/>
  </bookViews>
  <sheets>
    <sheet name="Project Info" sheetId="1" r:id="rId1"/>
    <sheet name="Geometry Info" sheetId="2" r:id="rId2"/>
    <sheet name="Borehole" sheetId="4" r:id="rId3"/>
    <sheet name="Excavation Details" sheetId="10" r:id="rId4"/>
    <sheet name="Plate Properties" sheetId="3" r:id="rId5"/>
    <sheet name="Soil Properties" sheetId="5" r:id="rId6"/>
    <sheet name="Anchor Properties" sheetId="6" r:id="rId7"/>
    <sheet name="ERSS Wall Detail" sheetId="7" r:id="rId8"/>
    <sheet name="Strut Details" sheetId="8" r:id="rId9"/>
    <sheet name="Line Load" sheetId="9" r:id="rId10"/>
    <sheet name="Construction Sequence" sheetId="11" r:id="rId11"/>
  </sheets>
  <externalReferences>
    <externalReference r:id="rId12"/>
  </externalReferences>
  <definedNames>
    <definedName name="_xlnm._FilterDatabase" localSheetId="0" hidden="1">'Project Info'!$A$1:$B$10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G2" i="3"/>
  <c r="B12" i="11"/>
  <c r="B11" i="11"/>
  <c r="B9" i="11"/>
  <c r="B7" i="11"/>
  <c r="A3" i="8"/>
  <c r="A2" i="8"/>
  <c r="F3" i="8"/>
  <c r="F2" i="8"/>
  <c r="D3" i="8"/>
  <c r="D2" i="8"/>
  <c r="F3" i="7"/>
  <c r="D3" i="7"/>
  <c r="E3" i="9" s="1"/>
  <c r="C3" i="7"/>
  <c r="H5" i="10" s="1"/>
  <c r="F2" i="7"/>
  <c r="C2" i="7"/>
  <c r="B2" i="9" s="1"/>
  <c r="D2" i="9" s="1"/>
  <c r="D2" i="7"/>
  <c r="C2" i="9" s="1"/>
  <c r="A3" i="7"/>
  <c r="A2" i="7"/>
  <c r="B25" i="2"/>
  <c r="B23" i="2"/>
  <c r="B24" i="2"/>
  <c r="B22" i="2"/>
  <c r="C6" i="4"/>
  <c r="C7" i="4" s="1"/>
  <c r="C5" i="4"/>
  <c r="C4" i="4"/>
  <c r="C3" i="4"/>
  <c r="C2" i="4"/>
  <c r="E2" i="8" l="1"/>
  <c r="E2" i="7"/>
  <c r="B3" i="9"/>
  <c r="D3" i="9" s="1"/>
  <c r="C3" i="9"/>
  <c r="E2" i="9"/>
  <c r="E3" i="7"/>
  <c r="C2" i="8"/>
  <c r="E2" i="10"/>
  <c r="H2" i="10"/>
  <c r="C3" i="8"/>
  <c r="E3" i="10"/>
  <c r="E4" i="10"/>
  <c r="E5" i="10"/>
  <c r="E3" i="8"/>
  <c r="H3" i="10"/>
  <c r="H4" i="10"/>
</calcChain>
</file>

<file path=xl/sharedStrings.xml><?xml version="1.0" encoding="utf-8"?>
<sst xmlns="http://schemas.openxmlformats.org/spreadsheetml/2006/main" count="243" uniqueCount="160">
  <si>
    <t>Parameters</t>
  </si>
  <si>
    <t>Value</t>
  </si>
  <si>
    <t>ProjectTitle</t>
  </si>
  <si>
    <t>Project_01</t>
  </si>
  <si>
    <t>UnitForce</t>
  </si>
  <si>
    <t>kN</t>
  </si>
  <si>
    <t>UnitLength</t>
  </si>
  <si>
    <t>m</t>
  </si>
  <si>
    <t>UnitTime</t>
  </si>
  <si>
    <t>s</t>
  </si>
  <si>
    <t>ModelType</t>
  </si>
  <si>
    <t>Plane Strain</t>
  </si>
  <si>
    <t>ElementType</t>
  </si>
  <si>
    <t>15Noded</t>
  </si>
  <si>
    <t>Section</t>
  </si>
  <si>
    <t>BoreholeType</t>
  </si>
  <si>
    <t>Manual</t>
  </si>
  <si>
    <t>BH_01</t>
  </si>
  <si>
    <t>WallTopLevel</t>
  </si>
  <si>
    <t>ExcavationDepth</t>
  </si>
  <si>
    <t>ToeLevel</t>
  </si>
  <si>
    <t>NoOfStrut</t>
  </si>
  <si>
    <t>Strut1Level</t>
  </si>
  <si>
    <t>Strut2Level</t>
  </si>
  <si>
    <t>ExcavationBelowStrut</t>
  </si>
  <si>
    <t>OverExcavation</t>
  </si>
  <si>
    <t>DesignApproach</t>
  </si>
  <si>
    <t>WallType</t>
  </si>
  <si>
    <t>MemberSize</t>
  </si>
  <si>
    <t>Material</t>
  </si>
  <si>
    <t>Spacing</t>
  </si>
  <si>
    <t>x_min_coordinate</t>
  </si>
  <si>
    <t>y_min_coordinate</t>
  </si>
  <si>
    <t>x_max_coordinate</t>
  </si>
  <si>
    <t>y_max_coordinate</t>
  </si>
  <si>
    <t>MaterialName</t>
  </si>
  <si>
    <t>Elasticity</t>
  </si>
  <si>
    <t>IsIsotropic</t>
  </si>
  <si>
    <t>EA2</t>
  </si>
  <si>
    <t>EI</t>
  </si>
  <si>
    <t>d</t>
  </si>
  <si>
    <t>w</t>
  </si>
  <si>
    <t>nu</t>
  </si>
  <si>
    <t>Colour</t>
  </si>
  <si>
    <t>SoilModel</t>
  </si>
  <si>
    <t>DrainageType</t>
  </si>
  <si>
    <t>gammaUnsat</t>
  </si>
  <si>
    <t>gammaSat</t>
  </si>
  <si>
    <t>Eref</t>
  </si>
  <si>
    <t>cref</t>
  </si>
  <si>
    <t>phi</t>
  </si>
  <si>
    <t>kx</t>
  </si>
  <si>
    <t>ky</t>
  </si>
  <si>
    <t>Strength</t>
  </si>
  <si>
    <t>Rinter</t>
  </si>
  <si>
    <t>K0Determination</t>
  </si>
  <si>
    <t>K0Primary</t>
  </si>
  <si>
    <t>EA</t>
  </si>
  <si>
    <t>Lspacing</t>
  </si>
  <si>
    <t>Top</t>
  </si>
  <si>
    <t>Bottom</t>
  </si>
  <si>
    <t>SoilType</t>
  </si>
  <si>
    <t>SPT</t>
  </si>
  <si>
    <t>WallName</t>
  </si>
  <si>
    <t>x_Top</t>
  </si>
  <si>
    <t>y_Top</t>
  </si>
  <si>
    <t>x_Bottom</t>
  </si>
  <si>
    <t>y_Bottom</t>
  </si>
  <si>
    <t>StrutName</t>
  </si>
  <si>
    <t>x_Left</t>
  </si>
  <si>
    <t>y_Left</t>
  </si>
  <si>
    <t>x_Right</t>
  </si>
  <si>
    <t>y_Right</t>
  </si>
  <si>
    <t>Type</t>
  </si>
  <si>
    <t>Direction_x</t>
  </si>
  <si>
    <t>Direction_y</t>
  </si>
  <si>
    <t>LoadName</t>
  </si>
  <si>
    <t>x_start</t>
  </si>
  <si>
    <t>y_start</t>
  </si>
  <si>
    <t>x_end</t>
  </si>
  <si>
    <t>y_end</t>
  </si>
  <si>
    <t>qx_start</t>
  </si>
  <si>
    <t>qy_start</t>
  </si>
  <si>
    <t>Distribution</t>
  </si>
  <si>
    <t>StageNo</t>
  </si>
  <si>
    <t>StageName</t>
  </si>
  <si>
    <t>y_start_Left</t>
  </si>
  <si>
    <t>y_end_Left</t>
  </si>
  <si>
    <t>y_start_Right</t>
  </si>
  <si>
    <t>y_end_Right</t>
  </si>
  <si>
    <t>PhaseNo</t>
  </si>
  <si>
    <t>PhaseName</t>
  </si>
  <si>
    <t>ElementName</t>
  </si>
  <si>
    <t>Action</t>
  </si>
  <si>
    <t>Line Load</t>
  </si>
  <si>
    <t>ERSS Wall</t>
  </si>
  <si>
    <t>Activate</t>
  </si>
  <si>
    <t>Excavation</t>
  </si>
  <si>
    <t>Deactivate</t>
  </si>
  <si>
    <t>Strut</t>
  </si>
  <si>
    <t>None</t>
  </si>
  <si>
    <t>LL_Left</t>
  </si>
  <si>
    <t>LL_Right</t>
  </si>
  <si>
    <t>Wall_Right</t>
  </si>
  <si>
    <t>Wall_Left</t>
  </si>
  <si>
    <t>Strut_1</t>
  </si>
  <si>
    <t>Strut_2</t>
  </si>
  <si>
    <t>Fill</t>
  </si>
  <si>
    <t>F1</t>
  </si>
  <si>
    <t>F2</t>
  </si>
  <si>
    <t>OA(D)</t>
  </si>
  <si>
    <t>OA(B)</t>
  </si>
  <si>
    <t>OA(A)</t>
  </si>
  <si>
    <t>Soldier Pile</t>
  </si>
  <si>
    <t>Steel</t>
  </si>
  <si>
    <t>ExcavationWidth</t>
  </si>
  <si>
    <t>ExcavationType</t>
  </si>
  <si>
    <t>A</t>
  </si>
  <si>
    <t>SLS</t>
  </si>
  <si>
    <t>Double Side</t>
  </si>
  <si>
    <t>Excavate to RL 97.5</t>
  </si>
  <si>
    <t>UB762x267x173</t>
  </si>
  <si>
    <t>Strut1_Material</t>
  </si>
  <si>
    <t>Strut1_MemberSize</t>
  </si>
  <si>
    <t>SoldierPile</t>
  </si>
  <si>
    <t>UC203x203x86</t>
  </si>
  <si>
    <t>n2n</t>
  </si>
  <si>
    <t>Uniform</t>
  </si>
  <si>
    <t>Drained</t>
  </si>
  <si>
    <t>Undrainedb</t>
  </si>
  <si>
    <t>Mohrcoulomb</t>
  </si>
  <si>
    <t>Elastic</t>
  </si>
  <si>
    <t>Borehole_x_coordinate</t>
  </si>
  <si>
    <t>GroundWatertable</t>
  </si>
  <si>
    <t>UC203x203x71</t>
  </si>
  <si>
    <t>Borehole</t>
  </si>
  <si>
    <t>ModelElementType</t>
  </si>
  <si>
    <t>Line</t>
  </si>
  <si>
    <t>Polygon</t>
  </si>
  <si>
    <t>True</t>
  </si>
  <si>
    <t>StrutNu</t>
  </si>
  <si>
    <t>Activate Live Load</t>
  </si>
  <si>
    <t>Activate_ERSS_Wall</t>
  </si>
  <si>
    <t>Phase_0</t>
  </si>
  <si>
    <t>Initial Phase</t>
  </si>
  <si>
    <t>Install Strut1</t>
  </si>
  <si>
    <t>Install Strut2</t>
  </si>
  <si>
    <t>Phase_01</t>
  </si>
  <si>
    <t>Phase_02</t>
  </si>
  <si>
    <t>Phase_03</t>
  </si>
  <si>
    <t>Phase_04</t>
  </si>
  <si>
    <t>Phase_05</t>
  </si>
  <si>
    <t>Phase_06</t>
  </si>
  <si>
    <t>Phase_07</t>
  </si>
  <si>
    <t>Phase_08</t>
  </si>
  <si>
    <t>Over Excavation</t>
  </si>
  <si>
    <t>E</t>
  </si>
  <si>
    <t>Gref</t>
  </si>
  <si>
    <t>Excavate to RL 94.5</t>
  </si>
  <si>
    <t>Excavate to RL 92.5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</si>
</sst>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11" fontId="0" fillId="0" borderId="0" xfId="0" applyNumberForma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ynology%20Drive\BuildNex%20AI\Excavation.xlsx" TargetMode="External"/><Relationship Id="rId1" Type="http://schemas.openxmlformats.org/officeDocument/2006/relationships/externalLinkPath" Target="file:///C:\Synology%20Drive\BuildNex%20AI\Excav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"/>
      <sheetName val="Plate Properties"/>
      <sheetName val="Borehole"/>
      <sheetName val="Soil Properties"/>
      <sheetName val="Anchor Properties"/>
      <sheetName val="Graphical view"/>
      <sheetName val="Coordinates "/>
    </sheetNames>
    <sheetDataSet>
      <sheetData sheetId="0">
        <row r="8">
          <cell r="D8">
            <v>100</v>
          </cell>
        </row>
      </sheetData>
      <sheetData sheetId="1"/>
      <sheetData sheetId="2"/>
      <sheetData sheetId="3"/>
      <sheetData sheetId="4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77B5-65DC-4E4F-AF19-74AAC1E7266C}">
  <dimension ref="A1:B11"/>
  <sheetViews>
    <sheetView workbookViewId="0">
      <selection activeCell="A15" sqref="A15"/>
    </sheetView>
  </sheetViews>
  <sheetFormatPr defaultRowHeight="14.4" x14ac:dyDescent="0.3"/>
  <cols>
    <col min="1" max="1" width="34.44140625" customWidth="1"/>
    <col min="2" max="2" width="16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4" t="s">
        <v>3</v>
      </c>
    </row>
    <row r="3" spans="1:2" x14ac:dyDescent="0.3">
      <c r="A3" t="s">
        <v>14</v>
      </c>
      <c r="B3" s="4" t="s">
        <v>117</v>
      </c>
    </row>
    <row r="4" spans="1:2" x14ac:dyDescent="0.3">
      <c r="A4" t="s">
        <v>4</v>
      </c>
      <c r="B4" s="3" t="s">
        <v>5</v>
      </c>
    </row>
    <row r="5" spans="1:2" x14ac:dyDescent="0.3">
      <c r="A5" t="s">
        <v>6</v>
      </c>
      <c r="B5" s="3" t="s">
        <v>7</v>
      </c>
    </row>
    <row r="6" spans="1:2" x14ac:dyDescent="0.3">
      <c r="A6" t="s">
        <v>8</v>
      </c>
      <c r="B6" s="3" t="s">
        <v>9</v>
      </c>
    </row>
    <row r="7" spans="1:2" x14ac:dyDescent="0.3">
      <c r="A7" t="s">
        <v>10</v>
      </c>
      <c r="B7" s="3" t="s">
        <v>11</v>
      </c>
    </row>
    <row r="8" spans="1:2" x14ac:dyDescent="0.3">
      <c r="A8" t="s">
        <v>12</v>
      </c>
      <c r="B8" s="3" t="s">
        <v>13</v>
      </c>
    </row>
    <row r="9" spans="1:2" x14ac:dyDescent="0.3">
      <c r="A9" t="s">
        <v>15</v>
      </c>
      <c r="B9" s="4" t="s">
        <v>16</v>
      </c>
    </row>
    <row r="10" spans="1:2" x14ac:dyDescent="0.3">
      <c r="A10" s="5" t="s">
        <v>135</v>
      </c>
      <c r="B10" s="4" t="s">
        <v>17</v>
      </c>
    </row>
    <row r="11" spans="1:2" x14ac:dyDescent="0.3">
      <c r="A11" t="s">
        <v>26</v>
      </c>
      <c r="B11" s="4" t="s">
        <v>118</v>
      </c>
    </row>
  </sheetData>
  <autoFilter ref="A1:B10" xr:uid="{4FEE77B5-65DC-4E4F-AF19-74AAC1E7266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8188-5FBD-41D1-9A6D-5677E4C5B2E8}">
  <dimension ref="A1:B25"/>
  <sheetViews>
    <sheetView workbookViewId="0">
      <selection sqref="A1:B26"/>
    </sheetView>
  </sheetViews>
  <sheetFormatPr defaultRowHeight="14.4" x14ac:dyDescent="0.3"/>
  <cols>
    <col min="1" max="1" width="32.21875" customWidth="1"/>
    <col min="2" max="2" width="2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116</v>
      </c>
      <c r="B2" s="4" t="s">
        <v>119</v>
      </c>
    </row>
    <row r="3" spans="1:2" x14ac:dyDescent="0.3">
      <c r="A3" t="s">
        <v>18</v>
      </c>
      <c r="B3" s="4">
        <v>100</v>
      </c>
    </row>
    <row r="4" spans="1:2" x14ac:dyDescent="0.3">
      <c r="A4" t="s">
        <v>19</v>
      </c>
      <c r="B4" s="4">
        <v>10</v>
      </c>
    </row>
    <row r="5" spans="1:2" x14ac:dyDescent="0.3">
      <c r="A5" t="s">
        <v>115</v>
      </c>
      <c r="B5" s="4">
        <v>10</v>
      </c>
    </row>
    <row r="6" spans="1:2" x14ac:dyDescent="0.3">
      <c r="A6" t="s">
        <v>20</v>
      </c>
      <c r="B6" s="4">
        <v>80</v>
      </c>
    </row>
    <row r="7" spans="1:2" x14ac:dyDescent="0.3">
      <c r="A7" t="s">
        <v>21</v>
      </c>
      <c r="B7" s="4">
        <v>2</v>
      </c>
    </row>
    <row r="8" spans="1:2" x14ac:dyDescent="0.3">
      <c r="A8" t="s">
        <v>22</v>
      </c>
      <c r="B8" s="4">
        <v>98</v>
      </c>
    </row>
    <row r="9" spans="1:2" x14ac:dyDescent="0.3">
      <c r="A9" t="s">
        <v>122</v>
      </c>
      <c r="B9" s="4" t="s">
        <v>114</v>
      </c>
    </row>
    <row r="10" spans="1:2" x14ac:dyDescent="0.3">
      <c r="A10" t="s">
        <v>123</v>
      </c>
      <c r="B10" s="4" t="s">
        <v>125</v>
      </c>
    </row>
    <row r="11" spans="1:2" x14ac:dyDescent="0.3">
      <c r="A11" t="s">
        <v>23</v>
      </c>
      <c r="B11" s="4">
        <v>95</v>
      </c>
    </row>
    <row r="12" spans="1:2" x14ac:dyDescent="0.3">
      <c r="A12" t="s">
        <v>122</v>
      </c>
      <c r="B12" s="4" t="s">
        <v>114</v>
      </c>
    </row>
    <row r="13" spans="1:2" x14ac:dyDescent="0.3">
      <c r="A13" t="s">
        <v>123</v>
      </c>
      <c r="B13" s="4" t="s">
        <v>125</v>
      </c>
    </row>
    <row r="14" spans="1:2" x14ac:dyDescent="0.3">
      <c r="A14" t="s">
        <v>24</v>
      </c>
      <c r="B14" s="4">
        <v>1</v>
      </c>
    </row>
    <row r="15" spans="1:2" x14ac:dyDescent="0.3">
      <c r="A15" t="s">
        <v>25</v>
      </c>
      <c r="B15" s="4">
        <v>0.5</v>
      </c>
    </row>
    <row r="16" spans="1:2" x14ac:dyDescent="0.3">
      <c r="A16" t="s">
        <v>27</v>
      </c>
      <c r="B16" s="4" t="s">
        <v>113</v>
      </c>
    </row>
    <row r="17" spans="1:2" x14ac:dyDescent="0.3">
      <c r="A17" t="s">
        <v>29</v>
      </c>
      <c r="B17" s="4" t="s">
        <v>114</v>
      </c>
    </row>
    <row r="18" spans="1:2" x14ac:dyDescent="0.3">
      <c r="A18" t="s">
        <v>28</v>
      </c>
      <c r="B18" s="4" t="s">
        <v>121</v>
      </c>
    </row>
    <row r="19" spans="1:2" x14ac:dyDescent="0.3">
      <c r="A19" t="s">
        <v>30</v>
      </c>
      <c r="B19" s="4">
        <v>2</v>
      </c>
    </row>
    <row r="20" spans="1:2" x14ac:dyDescent="0.3">
      <c r="A20" t="s">
        <v>132</v>
      </c>
      <c r="B20" s="4">
        <v>-10</v>
      </c>
    </row>
    <row r="21" spans="1:2" x14ac:dyDescent="0.3">
      <c r="A21" t="s">
        <v>133</v>
      </c>
      <c r="B21" s="4">
        <v>100</v>
      </c>
    </row>
    <row r="22" spans="1:2" x14ac:dyDescent="0.3">
      <c r="A22" t="s">
        <v>31</v>
      </c>
      <c r="B22">
        <f>-(B5/2 + 4*B4)</f>
        <v>-45</v>
      </c>
    </row>
    <row r="23" spans="1:2" x14ac:dyDescent="0.3">
      <c r="A23" t="s">
        <v>32</v>
      </c>
      <c r="B23">
        <f>B3-4*B4</f>
        <v>60</v>
      </c>
    </row>
    <row r="24" spans="1:2" x14ac:dyDescent="0.3">
      <c r="A24" t="s">
        <v>33</v>
      </c>
      <c r="B24">
        <f>(B5/2 + 4*B4)</f>
        <v>45</v>
      </c>
    </row>
    <row r="25" spans="1:2" x14ac:dyDescent="0.3">
      <c r="A25" t="s">
        <v>34</v>
      </c>
      <c r="B25">
        <f>B3+B4</f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2325-E07D-42ED-972F-3066E60F2779}">
  <dimension ref="A1:D8"/>
  <sheetViews>
    <sheetView tabSelected="1" workbookViewId="0">
      <selection activeCell="E12" sqref="E12"/>
    </sheetView>
  </sheetViews>
  <sheetFormatPr defaultRowHeight="14.4" x14ac:dyDescent="0.3"/>
  <cols>
    <col min="1" max="1" width="19.6640625" customWidth="1"/>
    <col min="2" max="2" width="8.44140625" customWidth="1"/>
  </cols>
  <sheetData>
    <row r="1" spans="1:4" x14ac:dyDescent="0.3">
      <c r="A1" t="s">
        <v>61</v>
      </c>
      <c r="B1" t="s">
        <v>62</v>
      </c>
      <c r="C1" t="s">
        <v>59</v>
      </c>
      <c r="D1" t="s">
        <v>60</v>
      </c>
    </row>
    <row r="2" spans="1:4" x14ac:dyDescent="0.3">
      <c r="A2" t="s">
        <v>107</v>
      </c>
      <c r="C2" s="1">
        <f>[1]Geometry!D8</f>
        <v>100</v>
      </c>
      <c r="D2" s="2">
        <v>97</v>
      </c>
    </row>
    <row r="3" spans="1:4" x14ac:dyDescent="0.3">
      <c r="A3" t="s">
        <v>108</v>
      </c>
      <c r="C3">
        <f>D2</f>
        <v>97</v>
      </c>
      <c r="D3" s="2">
        <v>93</v>
      </c>
    </row>
    <row r="4" spans="1:4" x14ac:dyDescent="0.3">
      <c r="A4" t="s">
        <v>109</v>
      </c>
      <c r="C4">
        <f>D3</f>
        <v>93</v>
      </c>
      <c r="D4" s="2">
        <v>87</v>
      </c>
    </row>
    <row r="5" spans="1:4" x14ac:dyDescent="0.3">
      <c r="A5" t="s">
        <v>110</v>
      </c>
      <c r="C5">
        <f>D4</f>
        <v>87</v>
      </c>
      <c r="D5" s="2">
        <v>80</v>
      </c>
    </row>
    <row r="6" spans="1:4" x14ac:dyDescent="0.3">
      <c r="A6" t="s">
        <v>111</v>
      </c>
      <c r="C6">
        <f>D5</f>
        <v>80</v>
      </c>
      <c r="D6" s="2">
        <v>70</v>
      </c>
    </row>
    <row r="7" spans="1:4" x14ac:dyDescent="0.3">
      <c r="A7" t="s">
        <v>112</v>
      </c>
      <c r="C7">
        <f>C6</f>
        <v>80</v>
      </c>
      <c r="D7" s="2">
        <v>60</v>
      </c>
    </row>
    <row r="8" spans="1:4" x14ac:dyDescent="0.3">
      <c r="D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F085-EC0D-42E9-BA4C-8B26D1227866}">
  <dimension ref="A1:H5"/>
  <sheetViews>
    <sheetView workbookViewId="0">
      <selection activeCell="D14" sqref="D14"/>
    </sheetView>
  </sheetViews>
  <sheetFormatPr defaultRowHeight="14.4" x14ac:dyDescent="0.3"/>
  <cols>
    <col min="2" max="2" width="21" customWidth="1"/>
    <col min="3" max="3" width="11.77734375" customWidth="1"/>
    <col min="4" max="4" width="13.109375" customWidth="1"/>
    <col min="6" max="6" width="12.33203125" customWidth="1"/>
    <col min="7" max="7" width="10.88671875" customWidth="1"/>
  </cols>
  <sheetData>
    <row r="1" spans="1:8" x14ac:dyDescent="0.3">
      <c r="A1" t="s">
        <v>84</v>
      </c>
      <c r="B1" t="s">
        <v>85</v>
      </c>
      <c r="C1" t="s">
        <v>86</v>
      </c>
      <c r="D1" t="s">
        <v>87</v>
      </c>
      <c r="E1" t="s">
        <v>69</v>
      </c>
      <c r="F1" t="s">
        <v>88</v>
      </c>
      <c r="G1" t="s">
        <v>89</v>
      </c>
      <c r="H1" t="s">
        <v>71</v>
      </c>
    </row>
    <row r="2" spans="1:8" x14ac:dyDescent="0.3">
      <c r="A2">
        <v>1</v>
      </c>
      <c r="B2" t="s">
        <v>120</v>
      </c>
      <c r="C2" s="4">
        <v>100</v>
      </c>
      <c r="D2" s="4">
        <v>97.5</v>
      </c>
      <c r="E2">
        <f>'ERSS Wall Detail'!C2</f>
        <v>-5</v>
      </c>
      <c r="F2" s="4">
        <v>100</v>
      </c>
      <c r="G2" s="4">
        <v>97.5</v>
      </c>
      <c r="H2">
        <f>'ERSS Wall Detail'!C3</f>
        <v>5</v>
      </c>
    </row>
    <row r="3" spans="1:8" x14ac:dyDescent="0.3">
      <c r="A3">
        <v>2</v>
      </c>
      <c r="B3" t="s">
        <v>158</v>
      </c>
      <c r="C3" s="4">
        <v>97.5</v>
      </c>
      <c r="D3" s="4">
        <v>94.5</v>
      </c>
      <c r="E3">
        <f>'ERSS Wall Detail'!C2</f>
        <v>-5</v>
      </c>
      <c r="F3" s="4">
        <v>97.5</v>
      </c>
      <c r="G3" s="4">
        <v>94.5</v>
      </c>
      <c r="H3">
        <f>'ERSS Wall Detail'!C3</f>
        <v>5</v>
      </c>
    </row>
    <row r="4" spans="1:8" x14ac:dyDescent="0.3">
      <c r="A4">
        <v>3</v>
      </c>
      <c r="B4" t="s">
        <v>159</v>
      </c>
      <c r="C4" s="4">
        <v>94.5</v>
      </c>
      <c r="D4" s="4">
        <v>92.5</v>
      </c>
      <c r="E4">
        <f>'ERSS Wall Detail'!C2</f>
        <v>-5</v>
      </c>
      <c r="F4" s="4">
        <v>94.5</v>
      </c>
      <c r="G4" s="4">
        <v>92.5</v>
      </c>
      <c r="H4">
        <f>'ERSS Wall Detail'!C3</f>
        <v>5</v>
      </c>
    </row>
    <row r="5" spans="1:8" x14ac:dyDescent="0.3">
      <c r="A5">
        <v>4</v>
      </c>
      <c r="B5" t="s">
        <v>155</v>
      </c>
      <c r="C5" s="4">
        <v>92.5</v>
      </c>
      <c r="D5" s="4">
        <v>92</v>
      </c>
      <c r="E5">
        <f>'ERSS Wall Detail'!C2</f>
        <v>-5</v>
      </c>
      <c r="F5" s="4">
        <v>92.5</v>
      </c>
      <c r="G5" s="4">
        <v>92</v>
      </c>
      <c r="H5">
        <f>'ERSS Wall Detail'!C3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A4FA-F3BB-4156-9433-161C1387F1DD}">
  <dimension ref="A1:L2"/>
  <sheetViews>
    <sheetView workbookViewId="0">
      <selection activeCell="E2" sqref="E2"/>
    </sheetView>
  </sheetViews>
  <sheetFormatPr defaultRowHeight="14.4" x14ac:dyDescent="0.3"/>
  <cols>
    <col min="1" max="1" width="18" customWidth="1"/>
    <col min="3" max="3" width="9.88671875" customWidth="1"/>
  </cols>
  <sheetData>
    <row r="1" spans="1:12" x14ac:dyDescent="0.3">
      <c r="A1" t="s">
        <v>35</v>
      </c>
      <c r="B1" t="s">
        <v>36</v>
      </c>
      <c r="C1" t="s">
        <v>37</v>
      </c>
      <c r="D1" t="s">
        <v>57</v>
      </c>
      <c r="E1" t="s">
        <v>38</v>
      </c>
      <c r="F1" t="s">
        <v>39</v>
      </c>
      <c r="G1" t="s">
        <v>40</v>
      </c>
      <c r="H1" t="s">
        <v>156</v>
      </c>
      <c r="I1" t="s">
        <v>157</v>
      </c>
      <c r="J1" t="s">
        <v>41</v>
      </c>
      <c r="K1" t="s">
        <v>140</v>
      </c>
      <c r="L1" t="s">
        <v>43</v>
      </c>
    </row>
    <row r="2" spans="1:12" x14ac:dyDescent="0.3">
      <c r="A2" s="4" t="s">
        <v>124</v>
      </c>
      <c r="B2" s="4" t="s">
        <v>131</v>
      </c>
      <c r="C2" s="7" t="s">
        <v>139</v>
      </c>
      <c r="D2" s="4">
        <v>4620000</v>
      </c>
      <c r="E2" s="4">
        <v>462000</v>
      </c>
      <c r="F2" s="4">
        <v>431130</v>
      </c>
      <c r="G2">
        <f>SQRT(12*F2/D2)</f>
        <v>1.0582146199227176</v>
      </c>
      <c r="H2">
        <f>D2/G2</f>
        <v>4365844.0480981097</v>
      </c>
      <c r="I2">
        <f>H2/(2*(1+K2))</f>
        <v>1819101.6867075458</v>
      </c>
      <c r="J2" s="4">
        <v>1.73</v>
      </c>
      <c r="K2" s="4">
        <v>0.2</v>
      </c>
      <c r="L2" s="4">
        <v>17523200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DDDD-A5F5-4F3B-9A3F-EEFFFA597BC5}">
  <dimension ref="A1:P7"/>
  <sheetViews>
    <sheetView topLeftCell="G1" workbookViewId="0">
      <selection activeCell="F15" sqref="F15"/>
    </sheetView>
  </sheetViews>
  <sheetFormatPr defaultRowHeight="14.4" x14ac:dyDescent="0.3"/>
  <cols>
    <col min="1" max="1" width="14.6640625" customWidth="1"/>
    <col min="2" max="2" width="16.109375" customWidth="1"/>
    <col min="3" max="3" width="13.44140625" customWidth="1"/>
    <col min="4" max="4" width="13" customWidth="1"/>
    <col min="5" max="5" width="14.109375" customWidth="1"/>
    <col min="14" max="14" width="14.44140625" customWidth="1"/>
    <col min="15" max="15" width="12.44140625" customWidth="1"/>
  </cols>
  <sheetData>
    <row r="1" spans="1:16" x14ac:dyDescent="0.3">
      <c r="A1" t="s">
        <v>35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42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43</v>
      </c>
    </row>
    <row r="2" spans="1:16" x14ac:dyDescent="0.3">
      <c r="A2" t="s">
        <v>107</v>
      </c>
      <c r="B2" t="s">
        <v>130</v>
      </c>
      <c r="C2" t="s">
        <v>128</v>
      </c>
      <c r="D2" s="2">
        <v>17</v>
      </c>
      <c r="E2" s="2">
        <v>18</v>
      </c>
      <c r="F2">
        <v>10000</v>
      </c>
      <c r="G2">
        <v>0.3</v>
      </c>
      <c r="H2" s="2">
        <v>1</v>
      </c>
      <c r="I2" s="2">
        <v>30</v>
      </c>
      <c r="J2" s="6">
        <v>9.9999999999999995E-7</v>
      </c>
      <c r="K2" s="6">
        <v>9.9999999999999995E-7</v>
      </c>
      <c r="L2" t="s">
        <v>16</v>
      </c>
      <c r="M2">
        <v>0.7</v>
      </c>
      <c r="N2" t="s">
        <v>16</v>
      </c>
      <c r="O2">
        <v>0.5</v>
      </c>
      <c r="P2">
        <v>15236578</v>
      </c>
    </row>
    <row r="3" spans="1:16" x14ac:dyDescent="0.3">
      <c r="A3" t="s">
        <v>108</v>
      </c>
      <c r="B3" t="s">
        <v>130</v>
      </c>
      <c r="C3" t="s">
        <v>128</v>
      </c>
      <c r="D3" s="2">
        <v>17</v>
      </c>
      <c r="E3" s="2">
        <v>18</v>
      </c>
      <c r="F3">
        <v>6000</v>
      </c>
      <c r="G3">
        <v>0.3</v>
      </c>
      <c r="H3" s="2">
        <v>1</v>
      </c>
      <c r="I3" s="2">
        <v>30</v>
      </c>
      <c r="J3" s="6">
        <v>9.9999999999999995E-7</v>
      </c>
      <c r="K3" s="6">
        <v>9.9999999999999995E-7</v>
      </c>
      <c r="L3" t="s">
        <v>16</v>
      </c>
      <c r="M3">
        <v>0.7</v>
      </c>
      <c r="N3" t="s">
        <v>16</v>
      </c>
      <c r="O3">
        <v>0.5</v>
      </c>
      <c r="P3">
        <v>16236578</v>
      </c>
    </row>
    <row r="4" spans="1:16" x14ac:dyDescent="0.3">
      <c r="A4" t="s">
        <v>109</v>
      </c>
      <c r="B4" t="s">
        <v>130</v>
      </c>
      <c r="C4" t="s">
        <v>129</v>
      </c>
      <c r="D4" s="2">
        <v>17</v>
      </c>
      <c r="E4" s="2">
        <v>18</v>
      </c>
      <c r="F4">
        <v>5000</v>
      </c>
      <c r="G4">
        <v>0.3</v>
      </c>
      <c r="H4" s="2">
        <v>10</v>
      </c>
      <c r="I4" s="2">
        <v>25</v>
      </c>
      <c r="J4" s="6">
        <v>9.9999999999999995E-7</v>
      </c>
      <c r="K4" s="6">
        <v>9.9999999999999995E-7</v>
      </c>
      <c r="L4" t="s">
        <v>16</v>
      </c>
      <c r="M4">
        <v>0.7</v>
      </c>
      <c r="N4" t="s">
        <v>16</v>
      </c>
      <c r="O4">
        <v>0.5</v>
      </c>
      <c r="P4">
        <v>17236578</v>
      </c>
    </row>
    <row r="5" spans="1:16" x14ac:dyDescent="0.3">
      <c r="A5" t="s">
        <v>110</v>
      </c>
      <c r="B5" t="s">
        <v>130</v>
      </c>
      <c r="C5" t="s">
        <v>128</v>
      </c>
      <c r="D5" s="2">
        <v>18</v>
      </c>
      <c r="E5" s="2">
        <v>19</v>
      </c>
      <c r="F5">
        <v>25000</v>
      </c>
      <c r="G5">
        <v>0.3</v>
      </c>
      <c r="H5" s="2">
        <v>4</v>
      </c>
      <c r="I5" s="2">
        <v>32</v>
      </c>
      <c r="J5" s="6">
        <v>9.9999999999999995E-7</v>
      </c>
      <c r="K5" s="6">
        <v>9.9999999999999995E-7</v>
      </c>
      <c r="L5" t="s">
        <v>16</v>
      </c>
      <c r="M5">
        <v>0.7</v>
      </c>
      <c r="N5" t="s">
        <v>16</v>
      </c>
      <c r="O5">
        <v>0.7</v>
      </c>
      <c r="P5">
        <v>18236578</v>
      </c>
    </row>
    <row r="6" spans="1:16" x14ac:dyDescent="0.3">
      <c r="A6" t="s">
        <v>111</v>
      </c>
      <c r="B6" t="s">
        <v>130</v>
      </c>
      <c r="C6" t="s">
        <v>128</v>
      </c>
      <c r="D6" s="2">
        <v>19</v>
      </c>
      <c r="E6" s="2">
        <v>20</v>
      </c>
      <c r="F6">
        <v>75000</v>
      </c>
      <c r="G6">
        <v>0.3</v>
      </c>
      <c r="H6" s="2">
        <v>8</v>
      </c>
      <c r="I6" s="2">
        <v>32</v>
      </c>
      <c r="J6" s="6">
        <v>9.9999999999999995E-7</v>
      </c>
      <c r="K6" s="6">
        <v>9.9999999999999995E-7</v>
      </c>
      <c r="L6" t="s">
        <v>16</v>
      </c>
      <c r="M6">
        <v>0.7</v>
      </c>
      <c r="N6" t="s">
        <v>16</v>
      </c>
      <c r="O6">
        <v>0.7</v>
      </c>
      <c r="P6">
        <v>19236578</v>
      </c>
    </row>
    <row r="7" spans="1:16" x14ac:dyDescent="0.3">
      <c r="A7" t="s">
        <v>112</v>
      </c>
      <c r="B7" t="s">
        <v>130</v>
      </c>
      <c r="C7" t="s">
        <v>128</v>
      </c>
      <c r="D7" s="2">
        <v>19</v>
      </c>
      <c r="E7" s="2">
        <v>20</v>
      </c>
      <c r="F7">
        <v>150000</v>
      </c>
      <c r="G7">
        <v>0.3</v>
      </c>
      <c r="H7" s="2">
        <v>10</v>
      </c>
      <c r="I7" s="2">
        <v>32</v>
      </c>
      <c r="J7" s="6">
        <v>9.9999999999999995E-7</v>
      </c>
      <c r="K7" s="6">
        <v>9.9999999999999995E-7</v>
      </c>
      <c r="L7" t="s">
        <v>16</v>
      </c>
      <c r="M7">
        <v>1.7</v>
      </c>
      <c r="N7" t="s">
        <v>16</v>
      </c>
      <c r="O7">
        <v>0.8</v>
      </c>
      <c r="P7">
        <v>20236578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02DF-0353-462B-B5C1-0F15606DE56C}">
  <dimension ref="A1:E3"/>
  <sheetViews>
    <sheetView workbookViewId="0">
      <selection activeCell="C3" sqref="C3"/>
    </sheetView>
  </sheetViews>
  <sheetFormatPr defaultRowHeight="14.4" x14ac:dyDescent="0.3"/>
  <cols>
    <col min="1" max="1" width="20.6640625" customWidth="1"/>
    <col min="2" max="2" width="12.33203125" customWidth="1"/>
  </cols>
  <sheetData>
    <row r="1" spans="1:5" x14ac:dyDescent="0.3">
      <c r="A1" t="s">
        <v>35</v>
      </c>
      <c r="B1" t="s">
        <v>36</v>
      </c>
      <c r="C1" t="s">
        <v>57</v>
      </c>
      <c r="D1" t="s">
        <v>58</v>
      </c>
      <c r="E1" t="s">
        <v>43</v>
      </c>
    </row>
    <row r="2" spans="1:5" x14ac:dyDescent="0.3">
      <c r="A2" t="s">
        <v>134</v>
      </c>
      <c r="B2" t="s">
        <v>131</v>
      </c>
      <c r="C2">
        <v>1898400</v>
      </c>
      <c r="D2">
        <v>6</v>
      </c>
      <c r="E2">
        <v>17603200</v>
      </c>
    </row>
    <row r="3" spans="1:5" x14ac:dyDescent="0.3">
      <c r="A3" t="s">
        <v>125</v>
      </c>
      <c r="B3" t="s">
        <v>131</v>
      </c>
      <c r="C3">
        <v>2310000</v>
      </c>
      <c r="D3">
        <v>6</v>
      </c>
      <c r="E3">
        <v>17503200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B28A-25DE-42B1-A894-0ED8DA39D65C}">
  <dimension ref="A1:F3"/>
  <sheetViews>
    <sheetView workbookViewId="0">
      <selection activeCell="F2" sqref="F2"/>
    </sheetView>
  </sheetViews>
  <sheetFormatPr defaultRowHeight="14.4" x14ac:dyDescent="0.3"/>
  <cols>
    <col min="1" max="1" width="19.44140625" customWidth="1"/>
    <col min="2" max="2" width="21.21875" customWidth="1"/>
    <col min="4" max="6" width="8.88671875" customWidth="1"/>
  </cols>
  <sheetData>
    <row r="1" spans="1:6" x14ac:dyDescent="0.3">
      <c r="A1" t="s">
        <v>35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3">
      <c r="A2" t="str">
        <f>'Plate Properties'!A2</f>
        <v>SoldierPile</v>
      </c>
      <c r="B2" s="4" t="s">
        <v>104</v>
      </c>
      <c r="C2">
        <f>-('Geometry Info'!B5)/2</f>
        <v>-5</v>
      </c>
      <c r="D2">
        <f>'Geometry Info'!B3</f>
        <v>100</v>
      </c>
      <c r="E2">
        <f>C2</f>
        <v>-5</v>
      </c>
      <c r="F2">
        <f>'Geometry Info'!B6</f>
        <v>80</v>
      </c>
    </row>
    <row r="3" spans="1:6" x14ac:dyDescent="0.3">
      <c r="A3" t="str">
        <f>'Plate Properties'!A2</f>
        <v>SoldierPile</v>
      </c>
      <c r="B3" s="4" t="s">
        <v>103</v>
      </c>
      <c r="C3">
        <f>('Geometry Info'!B5)/2</f>
        <v>5</v>
      </c>
      <c r="D3">
        <f>'Geometry Info'!B3</f>
        <v>100</v>
      </c>
      <c r="E3">
        <f>C3</f>
        <v>5</v>
      </c>
      <c r="F3">
        <f>'Geometry Info'!B6</f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9823-A94B-492B-B8DB-E0843D5EB70A}">
  <dimension ref="A1:I3"/>
  <sheetViews>
    <sheetView workbookViewId="0">
      <selection activeCell="D3" sqref="D3"/>
    </sheetView>
  </sheetViews>
  <sheetFormatPr defaultRowHeight="14.4" x14ac:dyDescent="0.3"/>
  <cols>
    <col min="1" max="1" width="20.33203125" customWidth="1"/>
    <col min="2" max="2" width="16.21875" customWidth="1"/>
    <col min="8" max="8" width="10.21875" customWidth="1"/>
    <col min="9" max="9" width="12.77734375" customWidth="1"/>
  </cols>
  <sheetData>
    <row r="1" spans="1:9" x14ac:dyDescent="0.3">
      <c r="A1" t="s">
        <v>35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3">
      <c r="A2" s="1" t="str">
        <f>'Anchor Properties'!A2</f>
        <v>UC203x203x71</v>
      </c>
      <c r="B2" s="4" t="s">
        <v>105</v>
      </c>
      <c r="C2">
        <f>'ERSS Wall Detail'!C2</f>
        <v>-5</v>
      </c>
      <c r="D2">
        <f>'Geometry Info'!B8</f>
        <v>98</v>
      </c>
      <c r="E2">
        <f>'ERSS Wall Detail'!C3</f>
        <v>5</v>
      </c>
      <c r="F2">
        <f>'Geometry Info'!B8</f>
        <v>98</v>
      </c>
      <c r="G2" s="4" t="s">
        <v>126</v>
      </c>
    </row>
    <row r="3" spans="1:9" x14ac:dyDescent="0.3">
      <c r="A3" s="1" t="str">
        <f>'Anchor Properties'!A3</f>
        <v>UC203x203x86</v>
      </c>
      <c r="B3" s="4" t="s">
        <v>106</v>
      </c>
      <c r="C3">
        <f>'ERSS Wall Detail'!C2</f>
        <v>-5</v>
      </c>
      <c r="D3">
        <f>'Geometry Info'!B11</f>
        <v>95</v>
      </c>
      <c r="E3">
        <f>'ERSS Wall Detail'!C3</f>
        <v>5</v>
      </c>
      <c r="F3">
        <f>'Geometry Info'!B11</f>
        <v>95</v>
      </c>
      <c r="G3" s="4" t="s">
        <v>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1840-506E-4D83-B331-DFC74F115CC3}">
  <dimension ref="A1:H3"/>
  <sheetViews>
    <sheetView workbookViewId="0">
      <selection activeCell="D11" sqref="D11"/>
    </sheetView>
  </sheetViews>
  <sheetFormatPr defaultRowHeight="14.4" x14ac:dyDescent="0.3"/>
  <cols>
    <col min="1" max="1" width="12" customWidth="1"/>
    <col min="2" max="2" width="11.77734375" customWidth="1"/>
    <col min="8" max="8" width="12.33203125" customWidth="1"/>
  </cols>
  <sheetData>
    <row r="1" spans="1:8" x14ac:dyDescent="0.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 spans="1:8" x14ac:dyDescent="0.3">
      <c r="A2" s="4" t="s">
        <v>101</v>
      </c>
      <c r="B2">
        <f>('ERSS Wall Detail'!C2-1)</f>
        <v>-6</v>
      </c>
      <c r="C2">
        <f>'ERSS Wall Detail'!D2</f>
        <v>100</v>
      </c>
      <c r="D2">
        <f>B2-'Geometry Info'!B4</f>
        <v>-16</v>
      </c>
      <c r="E2">
        <f>'ERSS Wall Detail'!D2</f>
        <v>100</v>
      </c>
      <c r="F2" s="4">
        <v>0</v>
      </c>
      <c r="G2" s="4">
        <v>-10</v>
      </c>
      <c r="H2" s="4" t="s">
        <v>127</v>
      </c>
    </row>
    <row r="3" spans="1:8" x14ac:dyDescent="0.3">
      <c r="A3" s="4" t="s">
        <v>102</v>
      </c>
      <c r="B3">
        <f>'ERSS Wall Detail'!C3+1</f>
        <v>6</v>
      </c>
      <c r="C3">
        <f>'ERSS Wall Detail'!D3</f>
        <v>100</v>
      </c>
      <c r="D3">
        <f>B3+'Geometry Info'!B4</f>
        <v>16</v>
      </c>
      <c r="E3">
        <f>'ERSS Wall Detail'!D3</f>
        <v>100</v>
      </c>
      <c r="F3" s="4">
        <v>0</v>
      </c>
      <c r="G3" s="4">
        <v>-10</v>
      </c>
      <c r="H3" s="4" t="s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88B4-54FA-47BE-B1D8-F8AB63BE72C4}">
  <dimension ref="A1:F12"/>
  <sheetViews>
    <sheetView workbookViewId="0">
      <selection activeCell="J28" sqref="J28"/>
    </sheetView>
  </sheetViews>
  <sheetFormatPr defaultRowHeight="14.4" x14ac:dyDescent="0.3"/>
  <cols>
    <col min="2" max="2" width="18.21875" customWidth="1"/>
    <col min="3" max="3" width="14.21875" customWidth="1"/>
    <col min="4" max="4" width="13.33203125" customWidth="1"/>
    <col min="5" max="5" width="9.77734375" customWidth="1"/>
    <col min="6" max="6" width="16.44140625" customWidth="1"/>
  </cols>
  <sheetData>
    <row r="1" spans="1:6" x14ac:dyDescent="0.3">
      <c r="A1" t="s">
        <v>90</v>
      </c>
      <c r="B1" t="s">
        <v>91</v>
      </c>
      <c r="C1" t="s">
        <v>12</v>
      </c>
      <c r="D1" t="s">
        <v>92</v>
      </c>
      <c r="E1" t="s">
        <v>93</v>
      </c>
      <c r="F1" t="s">
        <v>136</v>
      </c>
    </row>
    <row r="2" spans="1:6" x14ac:dyDescent="0.3">
      <c r="A2" s="4" t="s">
        <v>143</v>
      </c>
      <c r="B2" s="4" t="s">
        <v>144</v>
      </c>
      <c r="C2" s="4" t="s">
        <v>100</v>
      </c>
      <c r="D2" s="4"/>
      <c r="E2" s="4" t="s">
        <v>100</v>
      </c>
    </row>
    <row r="3" spans="1:6" x14ac:dyDescent="0.3">
      <c r="A3" s="4" t="s">
        <v>147</v>
      </c>
      <c r="B3" s="4" t="s">
        <v>141</v>
      </c>
      <c r="C3" s="4" t="s">
        <v>94</v>
      </c>
      <c r="D3" s="4" t="s">
        <v>101</v>
      </c>
      <c r="E3" s="4" t="s">
        <v>96</v>
      </c>
      <c r="F3" s="4" t="s">
        <v>137</v>
      </c>
    </row>
    <row r="4" spans="1:6" x14ac:dyDescent="0.3">
      <c r="A4" s="4" t="s">
        <v>147</v>
      </c>
      <c r="B4" s="4" t="s">
        <v>141</v>
      </c>
      <c r="C4" s="4" t="s">
        <v>94</v>
      </c>
      <c r="D4" s="4" t="s">
        <v>102</v>
      </c>
      <c r="E4" s="4" t="s">
        <v>96</v>
      </c>
      <c r="F4" s="4" t="s">
        <v>137</v>
      </c>
    </row>
    <row r="5" spans="1:6" x14ac:dyDescent="0.3">
      <c r="A5" s="4" t="s">
        <v>148</v>
      </c>
      <c r="B5" s="4" t="s">
        <v>142</v>
      </c>
      <c r="C5" s="4" t="s">
        <v>95</v>
      </c>
      <c r="D5" s="4" t="s">
        <v>104</v>
      </c>
      <c r="E5" s="4" t="s">
        <v>96</v>
      </c>
      <c r="F5" s="4" t="s">
        <v>137</v>
      </c>
    </row>
    <row r="6" spans="1:6" x14ac:dyDescent="0.3">
      <c r="A6" s="4" t="s">
        <v>148</v>
      </c>
      <c r="B6" s="4" t="s">
        <v>142</v>
      </c>
      <c r="C6" s="4" t="s">
        <v>95</v>
      </c>
      <c r="D6" s="4" t="s">
        <v>103</v>
      </c>
      <c r="E6" s="4" t="s">
        <v>96</v>
      </c>
      <c r="F6" s="4" t="s">
        <v>137</v>
      </c>
    </row>
    <row r="7" spans="1:6" x14ac:dyDescent="0.3">
      <c r="A7" s="4" t="s">
        <v>149</v>
      </c>
      <c r="B7" s="4" t="str">
        <f>'Excavation Details'!B2</f>
        <v>Excavate to RL 97.5</v>
      </c>
      <c r="C7" s="4" t="s">
        <v>97</v>
      </c>
      <c r="D7" s="4">
        <v>1</v>
      </c>
      <c r="E7" s="4" t="s">
        <v>98</v>
      </c>
      <c r="F7" s="4" t="s">
        <v>138</v>
      </c>
    </row>
    <row r="8" spans="1:6" x14ac:dyDescent="0.3">
      <c r="A8" s="4" t="s">
        <v>150</v>
      </c>
      <c r="B8" s="4" t="s">
        <v>145</v>
      </c>
      <c r="C8" s="4" t="s">
        <v>99</v>
      </c>
      <c r="D8" s="4" t="s">
        <v>105</v>
      </c>
      <c r="E8" s="4" t="s">
        <v>96</v>
      </c>
      <c r="F8" s="4" t="s">
        <v>137</v>
      </c>
    </row>
    <row r="9" spans="1:6" x14ac:dyDescent="0.3">
      <c r="A9" s="4" t="s">
        <v>151</v>
      </c>
      <c r="B9" s="4" t="str">
        <f>'Excavation Details'!B3</f>
        <v>Excavate to RL 94.5</v>
      </c>
      <c r="C9" s="4" t="s">
        <v>97</v>
      </c>
      <c r="D9" s="4">
        <v>2</v>
      </c>
      <c r="E9" s="4" t="s">
        <v>98</v>
      </c>
      <c r="F9" s="4" t="s">
        <v>138</v>
      </c>
    </row>
    <row r="10" spans="1:6" x14ac:dyDescent="0.3">
      <c r="A10" s="4" t="s">
        <v>152</v>
      </c>
      <c r="B10" s="4" t="s">
        <v>146</v>
      </c>
      <c r="C10" s="4" t="s">
        <v>99</v>
      </c>
      <c r="D10" s="4" t="s">
        <v>106</v>
      </c>
      <c r="E10" s="4" t="s">
        <v>96</v>
      </c>
      <c r="F10" s="4" t="s">
        <v>137</v>
      </c>
    </row>
    <row r="11" spans="1:6" x14ac:dyDescent="0.3">
      <c r="A11" s="4" t="s">
        <v>153</v>
      </c>
      <c r="B11" s="4" t="str">
        <f>'Excavation Details'!B4</f>
        <v>Excavate to RL 92.5</v>
      </c>
      <c r="C11" s="4" t="s">
        <v>97</v>
      </c>
      <c r="D11" s="4">
        <v>3</v>
      </c>
      <c r="E11" s="4" t="s">
        <v>98</v>
      </c>
      <c r="F11" s="4" t="s">
        <v>138</v>
      </c>
    </row>
    <row r="12" spans="1:6" x14ac:dyDescent="0.3">
      <c r="A12" s="4" t="s">
        <v>154</v>
      </c>
      <c r="B12" s="4" t="str">
        <f>'Excavation Details'!B5</f>
        <v>Over Excavation</v>
      </c>
      <c r="C12" s="4" t="s">
        <v>97</v>
      </c>
      <c r="D12" s="4">
        <v>4</v>
      </c>
      <c r="E12" s="4" t="s">
        <v>98</v>
      </c>
      <c r="F12" s="4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Info</vt:lpstr>
      <vt:lpstr>Geometry Info</vt:lpstr>
      <vt:lpstr>Borehole</vt:lpstr>
      <vt:lpstr>Excavation Details</vt:lpstr>
      <vt:lpstr>Plate Properties</vt:lpstr>
      <vt:lpstr>Soil Properties</vt:lpstr>
      <vt:lpstr>Anchor Properties</vt:lpstr>
      <vt:lpstr>ERSS Wall Detail</vt:lpstr>
      <vt:lpstr>Strut Details</vt:lpstr>
      <vt:lpstr>Line Load</vt:lpstr>
      <vt:lpstr>Construction 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Thusiyanthan Ponnamapalam</dc:creator>
  <cp:lastModifiedBy>Isini annakkahewa</cp:lastModifiedBy>
  <dcterms:created xsi:type="dcterms:W3CDTF">2024-10-16T03:04:09Z</dcterms:created>
  <dcterms:modified xsi:type="dcterms:W3CDTF">2025-03-17T13:02:14Z</dcterms:modified>
</cp:coreProperties>
</file>